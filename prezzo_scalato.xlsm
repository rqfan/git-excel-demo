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DOC EXCEL DOC\"/>
    </mc:Choice>
  </mc:AlternateContent>
  <xr:revisionPtr revIDLastSave="0" documentId="13_ncr:1_{84257748-494F-44F4-805A-0870797B79D7}" xr6:coauthVersionLast="31" xr6:coauthVersionMax="31" xr10:uidLastSave="{00000000-0000-0000-0000-000000000000}"/>
  <bookViews>
    <workbookView xWindow="120" yWindow="90" windowWidth="9375" windowHeight="4965" firstSheet="1" activeTab="2" xr2:uid="{00000000-000D-0000-FFFF-FFFF00000000}"/>
  </bookViews>
  <sheets>
    <sheet name="Module1" sheetId="1" state="veryHidden" r:id=""/>
    <sheet name="Sheet1" sheetId="2" r:id="rId1"/>
    <sheet name="Sheet2" sheetId="3" r:id="rId2"/>
    <sheet name="Sheet3" sheetId="4" r:id="rId3"/>
    <sheet name="Sheet4" sheetId="5" r:id="rId4"/>
    <sheet name="Sheet5" sheetId="6" r:id="rId5"/>
    <sheet name="Sheet6" sheetId="7" r:id="rId6"/>
    <sheet name="Sheet7" sheetId="8" r:id="rId7"/>
    <sheet name="Sheet8" sheetId="9" r:id="rId8"/>
    <sheet name="Sheet9" sheetId="10" r:id="rId9"/>
    <sheet name="Sheet10" sheetId="11" r:id="rId10"/>
    <sheet name="Sheet11" sheetId="12" r:id="rId11"/>
    <sheet name="Sheet12" sheetId="13" r:id="rId12"/>
    <sheet name="Sheet13" sheetId="14" r:id="rId13"/>
    <sheet name="Sheet14" sheetId="15" r:id="rId14"/>
    <sheet name="Sheet15" sheetId="16" r:id="rId15"/>
    <sheet name="Sheet16" sheetId="17" r:id="rId16"/>
  </sheets>
  <functionGroups builtInGroupCount="19"/>
  <calcPr calcId="179017"/>
</workbook>
</file>

<file path=xl/calcChain.xml><?xml version="1.0" encoding="utf-8"?>
<calcChain xmlns="http://schemas.openxmlformats.org/spreadsheetml/2006/main">
  <c r="G15" i="3" l="1"/>
  <c r="H8" i="3"/>
  <c r="G7" i="3"/>
  <c r="F15" i="3"/>
  <c r="F2" i="3"/>
  <c r="I6" i="3" l="1"/>
  <c r="G6" i="3"/>
  <c r="G5" i="3"/>
  <c r="G4" i="3"/>
  <c r="B5" i="3"/>
  <c r="B6" i="3"/>
  <c r="B4" i="3"/>
  <c r="B7" i="3" l="1"/>
  <c r="J6" i="3"/>
  <c r="G8" i="3"/>
</calcChain>
</file>

<file path=xl/sharedStrings.xml><?xml version="1.0" encoding="utf-8"?>
<sst xmlns="http://schemas.openxmlformats.org/spreadsheetml/2006/main" count="64" uniqueCount="58">
  <si>
    <t xml:space="preserve">primo commento | secondo commento | terzo commento |  |  | </t>
  </si>
  <si>
    <t>carte | analogia con foglio elettronico | il caso, la partita con le regole | |asso=io; re=potere stato; donna=mondo femminile; jak=gli altri |  | i  numeri come scala di valori o di intensita| i parametri di una carta sono il seme, il numero, le coordina</t>
  </si>
  <si>
    <t xml:space="preserve">fiori | la bellezza, l'arte | la natura, la vita | |comporre, creare,  | plasmare, dipingere | </t>
  </si>
  <si>
    <t xml:space="preserve">quadri | la geometria, la logica | matematica,  scienze |  | studiare, la perfezione, la preparazione, le risposte alle domande | </t>
  </si>
  <si>
    <t xml:space="preserve">cuori | il sentimento, il corpo, il sangue, il coraggio | la persona umana  fisica e morale | |stabilire relazioni e mantenerle, amicizia e aiuto, soccorso, valorizzazione della personalita | la simpatia | </t>
  </si>
  <si>
    <t xml:space="preserve">picche | il metallo, le armi, la tecnologia | l'artificio, la civilta' tecnologica | |studiare e sperimentare, inventare, scoprire, costruire, produrre |  | </t>
  </si>
  <si>
    <t xml:space="preserve">impresa | in casa, in campagna | , a lignano, a villanterio | |familiare| di servizi | </t>
  </si>
  <si>
    <t xml:space="preserve">informatica | consulente|conoscenti, Internet, manutenzione, formazione | claudio, franco, alfredo,mariano, rubino, perini, sacme | ,malatesta | , alberto, </t>
  </si>
  <si>
    <t>agro | vivaio, terreno, serra, | |progettare serra| provare talee | |composizione fiori|seccatura fiori|disidratazione|sistemi irrigazione, controllo umidita'temperatura | , allarmi</t>
  </si>
  <si>
    <t xml:space="preserve">edil | commercio materiali, impianti, progettazione, installazione, | |provare badge, penne ottiche.. | |raccolta e trasmissione ordini|centro tipo bbs | </t>
  </si>
  <si>
    <t>commer | pubblica amministrazione | sistema controllo di gestione | |informazioni al pubblico sistema html, ipertesto | , cartella clinica</t>
  </si>
  <si>
    <t xml:space="preserve">artigianato| smontare scarpa, vetrine con cornici | uso alternativo si apparecchi standard tipo lavatrice | ,computer, </t>
  </si>
  <si>
    <t>artista, soggetti: | materiali|servizi di pubblicita', pr, manutenzione, installazione, comunicazione,  editoria, stampa, fotocomposizione | , radio</t>
  </si>
  <si>
    <t xml:space="preserve">artista  materiali | alimentari, vegetali, bassotilievi , mosaici con chicchi,  | colorati, lenticchie, </t>
  </si>
  <si>
    <t xml:space="preserve">impresa </t>
  </si>
  <si>
    <t xml:space="preserve"> in casa, in campagna </t>
  </si>
  <si>
    <t xml:space="preserve"> , a lignano, a villanterio </t>
  </si>
  <si>
    <t xml:space="preserve"> </t>
  </si>
  <si>
    <t>familiare</t>
  </si>
  <si>
    <t xml:space="preserve"> di servizi </t>
  </si>
  <si>
    <t xml:space="preserve">informatica </t>
  </si>
  <si>
    <t xml:space="preserve"> consulente</t>
  </si>
  <si>
    <t xml:space="preserve">conoscenti, Internet, manutenzione, formazione </t>
  </si>
  <si>
    <t xml:space="preserve"> claudio, franco, alfredo,mariano, rubino, perini, sacme </t>
  </si>
  <si>
    <t xml:space="preserve"> ,malatesta </t>
  </si>
  <si>
    <t xml:space="preserve"> , alberto, </t>
  </si>
  <si>
    <t xml:space="preserve">agro </t>
  </si>
  <si>
    <t xml:space="preserve"> vivaio, terreno, serra, </t>
  </si>
  <si>
    <t>progettare serra</t>
  </si>
  <si>
    <t xml:space="preserve"> provare talee </t>
  </si>
  <si>
    <t>composizione fiori</t>
  </si>
  <si>
    <t>seccatura fiori</t>
  </si>
  <si>
    <t>disidratazione</t>
  </si>
  <si>
    <t xml:space="preserve">sistemi irrigazione, controllo umidita'temperatura </t>
  </si>
  <si>
    <t xml:space="preserve"> , allarmi</t>
  </si>
  <si>
    <t xml:space="preserve">edil </t>
  </si>
  <si>
    <t xml:space="preserve"> commercio materiali, impianti, progettazione, installazione, </t>
  </si>
  <si>
    <t xml:space="preserve">provare badge, penne ottiche.. </t>
  </si>
  <si>
    <t>raccolta e trasmissione ordini</t>
  </si>
  <si>
    <t xml:space="preserve">centro tipo bbs </t>
  </si>
  <si>
    <t xml:space="preserve">commer </t>
  </si>
  <si>
    <t xml:space="preserve"> pubblica amministrazione </t>
  </si>
  <si>
    <t xml:space="preserve"> sistema controllo di gestione </t>
  </si>
  <si>
    <t xml:space="preserve">informazioni al pubblico sistema html, ipertesto </t>
  </si>
  <si>
    <t xml:space="preserve"> , cartella clinica</t>
  </si>
  <si>
    <t xml:space="preserve"> smontare scarpa, vetrine con cornici </t>
  </si>
  <si>
    <t xml:space="preserve"> uso alternativo si apparecchi standard tipo lavatrice </t>
  </si>
  <si>
    <t xml:space="preserve"> ,computer, </t>
  </si>
  <si>
    <t xml:space="preserve">artista, soggetti: </t>
  </si>
  <si>
    <t xml:space="preserve"> materiali</t>
  </si>
  <si>
    <t xml:space="preserve">servizi di pubblicita', pr, manutenzione, installazione, comunicazione,  editoria, stampa, fotocomposizione </t>
  </si>
  <si>
    <t xml:space="preserve"> , radio</t>
  </si>
  <si>
    <t xml:space="preserve">artista  materiali </t>
  </si>
  <si>
    <t xml:space="preserve"> alimentari, vegetali, bassotilievi , mosaici con chicchi,  </t>
  </si>
  <si>
    <t xml:space="preserve"> colorati, lenticchie, </t>
  </si>
  <si>
    <t>artigianato</t>
  </si>
  <si>
    <t>=SE($A$2&gt;(A5);A5-A4;$A$2-SOMMA($B$3:B4))</t>
  </si>
  <si>
    <t>4100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</si>
</sst>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sz val="10"/>
      <name val="Arial"/>
    </font>
    <font>
      <sz val="10"/>
      <color indexed="8"/>
      <name val="Arial"/>
    </font>
    <font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2" borderId="0" xfId="0" applyFill="1"/>
    <xf numFmtId="0" fontId="0" fillId="2" borderId="0" xfId="0" quotePrefix="1" applyFill="1"/>
    <xf numFmtId="9" fontId="0" fillId="0" borderId="0" xfId="1" quotePrefix="1" applyFont="1"/>
  </cellXfs>
  <cellStyles count="2">
    <cellStyle name="Normale" xfId="0" builtinId="0"/>
    <cellStyle name="Percentuale" xfId="1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"/>
  <dimension ref="A1:Q33"/>
  <sheetViews>
    <sheetView topLeftCell="A8" workbookViewId="0">
      <selection activeCell="D12" sqref="D12"/>
    </sheetView>
  </sheetViews>
  <sheetFormatPr defaultRowHeight="12.75" x14ac:dyDescent="0.2"/>
  <cols>
    <col min="4" max="4" width="9.140625" style="1"/>
  </cols>
  <sheetData>
    <row r="1" spans="1:9" x14ac:dyDescent="0.2">
      <c r="A1" t="s">
        <v>0</v>
      </c>
      <c r="D1"/>
    </row>
    <row r="2" spans="1:9" x14ac:dyDescent="0.2">
      <c r="A2" s="4"/>
      <c r="B2" s="3"/>
      <c r="D2" s="3"/>
      <c r="E2" s="4"/>
      <c r="F2" s="3"/>
      <c r="G2" s="4"/>
      <c r="H2" s="3"/>
      <c r="I2" s="4"/>
    </row>
    <row r="3" spans="1:9" x14ac:dyDescent="0.2">
      <c r="A3" s="3"/>
      <c r="B3" s="3"/>
      <c r="C3" s="4"/>
      <c r="D3" s="3"/>
      <c r="E3" s="4"/>
      <c r="F3" s="3"/>
      <c r="G3" s="4"/>
    </row>
    <row r="4" spans="1:9" x14ac:dyDescent="0.2">
      <c r="A4" s="3"/>
      <c r="B4" s="3"/>
      <c r="D4" s="3"/>
      <c r="E4" s="4"/>
      <c r="F4" s="3"/>
      <c r="G4" s="4"/>
      <c r="H4" s="3"/>
      <c r="I4" s="4"/>
    </row>
    <row r="5" spans="1:9" x14ac:dyDescent="0.2">
      <c r="B5" t="s">
        <v>1</v>
      </c>
      <c r="D5"/>
    </row>
    <row r="6" spans="1:9" x14ac:dyDescent="0.2">
      <c r="A6" s="3"/>
      <c r="B6" t="s">
        <v>2</v>
      </c>
      <c r="C6" s="3"/>
      <c r="D6" s="3"/>
      <c r="E6" s="4"/>
      <c r="F6" s="3"/>
      <c r="G6" s="4"/>
      <c r="H6" s="3"/>
      <c r="I6" s="4"/>
    </row>
    <row r="7" spans="1:9" x14ac:dyDescent="0.2">
      <c r="A7" s="3"/>
      <c r="B7" t="s">
        <v>3</v>
      </c>
      <c r="C7" s="4"/>
      <c r="D7" s="4"/>
      <c r="E7" s="4"/>
      <c r="F7" s="3"/>
      <c r="G7" s="4"/>
      <c r="H7" s="3"/>
      <c r="I7" s="4"/>
    </row>
    <row r="8" spans="1:9" s="1" customFormat="1" x14ac:dyDescent="0.2">
      <c r="A8" s="2"/>
      <c r="B8" t="s">
        <v>4</v>
      </c>
      <c r="C8" s="2"/>
      <c r="D8" s="5"/>
      <c r="E8"/>
      <c r="F8" s="5"/>
      <c r="G8" s="2"/>
      <c r="H8" s="5"/>
      <c r="I8" s="2"/>
    </row>
    <row r="9" spans="1:9" s="1" customFormat="1" x14ac:dyDescent="0.2">
      <c r="A9" s="5"/>
      <c r="B9" t="s">
        <v>5</v>
      </c>
      <c r="C9" s="2"/>
      <c r="D9" s="2"/>
      <c r="E9" s="5"/>
      <c r="F9" s="2"/>
      <c r="G9" s="5"/>
      <c r="H9" s="5"/>
      <c r="I9" s="2"/>
    </row>
    <row r="10" spans="1:9" s="1" customFormat="1" x14ac:dyDescent="0.2">
      <c r="A10" s="2"/>
      <c r="B10" s="5"/>
      <c r="C10"/>
      <c r="E10" s="5"/>
      <c r="F10" s="5"/>
      <c r="G10" s="5"/>
      <c r="H10" s="5"/>
      <c r="I10" s="2"/>
    </row>
    <row r="11" spans="1:9" s="1" customFormat="1" x14ac:dyDescent="0.2">
      <c r="A11" s="2"/>
      <c r="B11" s="5"/>
      <c r="C11"/>
      <c r="E11" s="5"/>
      <c r="F11" s="5"/>
      <c r="G11" s="5"/>
      <c r="H11" s="5"/>
      <c r="I11" s="2"/>
    </row>
    <row r="12" spans="1:9" s="1" customFormat="1" x14ac:dyDescent="0.2">
      <c r="A12" s="2"/>
      <c r="B12" s="5"/>
      <c r="C12"/>
      <c r="E12" s="5"/>
      <c r="F12" s="5"/>
      <c r="G12" s="5"/>
      <c r="H12" s="5"/>
      <c r="I12" s="2"/>
    </row>
    <row r="13" spans="1:9" s="1" customFormat="1" x14ac:dyDescent="0.2">
      <c r="B13" s="2"/>
      <c r="C13" s="2"/>
      <c r="D13" s="2"/>
      <c r="E13" s="2"/>
      <c r="F13" s="2"/>
      <c r="G13" s="2"/>
      <c r="H13" s="2"/>
      <c r="I13" s="2"/>
    </row>
    <row r="14" spans="1:9" s="1" customFormat="1" x14ac:dyDescent="0.2">
      <c r="B14" s="1" t="s">
        <v>6</v>
      </c>
      <c r="C14" s="1" t="s">
        <v>7</v>
      </c>
      <c r="D14" s="1" t="s">
        <v>8</v>
      </c>
      <c r="E14" s="1" t="s">
        <v>9</v>
      </c>
      <c r="F14" s="1" t="s">
        <v>10</v>
      </c>
    </row>
    <row r="15" spans="1:9" s="1" customFormat="1" x14ac:dyDescent="0.2">
      <c r="B15" s="1" t="s">
        <v>11</v>
      </c>
      <c r="C15" s="1" t="s">
        <v>12</v>
      </c>
      <c r="D15" s="2" t="s">
        <v>13</v>
      </c>
    </row>
    <row r="16" spans="1:9" s="1" customFormat="1" x14ac:dyDescent="0.2">
      <c r="D16" s="2"/>
    </row>
    <row r="17" spans="2:17" s="1" customFormat="1" x14ac:dyDescent="0.2">
      <c r="B17" s="1" t="s">
        <v>14</v>
      </c>
      <c r="C17" s="1" t="s">
        <v>15</v>
      </c>
      <c r="D17" s="1" t="s">
        <v>16</v>
      </c>
      <c r="E17" s="1" t="s">
        <v>17</v>
      </c>
      <c r="F17" s="1" t="s">
        <v>18</v>
      </c>
      <c r="G17" s="1" t="s">
        <v>19</v>
      </c>
      <c r="H17" s="1" t="s">
        <v>17</v>
      </c>
      <c r="I17" s="1" t="s">
        <v>20</v>
      </c>
      <c r="J17" s="1" t="s">
        <v>21</v>
      </c>
      <c r="K17" s="1" t="s">
        <v>22</v>
      </c>
      <c r="L17" s="1" t="s">
        <v>23</v>
      </c>
      <c r="M17" s="1" t="s">
        <v>24</v>
      </c>
      <c r="N17" s="1" t="s">
        <v>25</v>
      </c>
      <c r="O17" s="1" t="s">
        <v>26</v>
      </c>
      <c r="P17" s="1" t="s">
        <v>27</v>
      </c>
      <c r="Q17" s="1" t="s">
        <v>17</v>
      </c>
    </row>
    <row r="18" spans="2:17" s="1" customFormat="1" x14ac:dyDescent="0.2">
      <c r="B18" s="1" t="s">
        <v>28</v>
      </c>
      <c r="C18" s="1" t="s">
        <v>29</v>
      </c>
      <c r="D18" s="1" t="s">
        <v>17</v>
      </c>
      <c r="E18" s="1" t="s">
        <v>30</v>
      </c>
      <c r="F18" s="1" t="s">
        <v>31</v>
      </c>
      <c r="G18" s="1" t="s">
        <v>32</v>
      </c>
      <c r="H18" s="1" t="s">
        <v>33</v>
      </c>
      <c r="I18" s="1" t="s">
        <v>34</v>
      </c>
      <c r="J18" s="1" t="s">
        <v>35</v>
      </c>
      <c r="K18" s="1" t="s">
        <v>36</v>
      </c>
      <c r="L18" s="1" t="s">
        <v>17</v>
      </c>
      <c r="M18"/>
      <c r="N18"/>
      <c r="O18"/>
      <c r="P18"/>
      <c r="Q18"/>
    </row>
    <row r="19" spans="2:17" s="1" customFormat="1" x14ac:dyDescent="0.2">
      <c r="B19" s="1" t="s">
        <v>37</v>
      </c>
      <c r="C19" s="1" t="s">
        <v>17</v>
      </c>
      <c r="D19" s="1" t="s">
        <v>38</v>
      </c>
      <c r="E19" s="1" t="s">
        <v>39</v>
      </c>
    </row>
    <row r="20" spans="2:17" s="1" customFormat="1" x14ac:dyDescent="0.2">
      <c r="B20" s="1" t="s">
        <v>40</v>
      </c>
      <c r="C20" s="1" t="s">
        <v>41</v>
      </c>
      <c r="D20" s="1" t="s">
        <v>42</v>
      </c>
      <c r="E20" s="1" t="s">
        <v>17</v>
      </c>
      <c r="F20" s="1" t="s">
        <v>43</v>
      </c>
      <c r="G20" s="1" t="s">
        <v>44</v>
      </c>
    </row>
    <row r="21" spans="2:17" s="1" customFormat="1" x14ac:dyDescent="0.2">
      <c r="B21" s="1" t="s">
        <v>45</v>
      </c>
      <c r="C21" s="1" t="s">
        <v>46</v>
      </c>
      <c r="D21" s="1" t="s">
        <v>47</v>
      </c>
      <c r="E21" s="1" t="s">
        <v>48</v>
      </c>
      <c r="F21" s="1" t="s">
        <v>49</v>
      </c>
      <c r="G21" s="1" t="s">
        <v>50</v>
      </c>
      <c r="H21" s="1" t="s">
        <v>51</v>
      </c>
      <c r="I21" s="2" t="s">
        <v>52</v>
      </c>
      <c r="J21" s="2" t="s">
        <v>53</v>
      </c>
      <c r="K21" s="2" t="s">
        <v>54</v>
      </c>
      <c r="O21"/>
    </row>
    <row r="22" spans="2:17" s="1" customFormat="1" x14ac:dyDescent="0.2">
      <c r="B22" s="1" t="s">
        <v>55</v>
      </c>
      <c r="D22" s="2"/>
    </row>
    <row r="23" spans="2:17" s="1" customFormat="1" x14ac:dyDescent="0.2"/>
    <row r="33" spans="4:4" x14ac:dyDescent="0.2">
      <c r="D33"/>
    </row>
  </sheetData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2"/>
  <dimension ref="A2:J20"/>
  <sheetViews>
    <sheetView tabSelected="1" workbookViewId="0">
      <selection activeCell="H7" sqref="H7"/>
    </sheetView>
  </sheetViews>
  <sheetFormatPr defaultRowHeight="12.75" x14ac:dyDescent="0.2"/>
  <cols>
    <col min="6" max="6" width="10" bestFit="1" customWidth="1"/>
    <col min="8" max="8" width="10" bestFit="1" customWidth="1"/>
  </cols>
  <sheetData>
    <row r="2" spans="1:10" x14ac:dyDescent="0.2">
      <c r="A2" s="6">
        <v>1001</v>
      </c>
      <c r="B2" s="6"/>
      <c r="E2">
        <v>1020</v>
      </c>
      <c r="F2">
        <f>prezzo_scalato(E2,E4:F7)</f>
        <v>31700</v>
      </c>
      <c r="H2" s="8" t="s">
        <v>57</v>
      </c>
    </row>
    <row r="3" spans="1:10" x14ac:dyDescent="0.2">
      <c r="A3" s="6">
        <v>0</v>
      </c>
      <c r="B3" s="6"/>
    </row>
    <row r="4" spans="1:10" x14ac:dyDescent="0.2">
      <c r="A4" s="6">
        <v>10</v>
      </c>
      <c r="B4" s="6">
        <f>IF($A$2&gt;(A4),A4-A3,$A$2-SUM($B$3:B3))</f>
        <v>10</v>
      </c>
      <c r="D4">
        <v>4</v>
      </c>
      <c r="E4">
        <v>10</v>
      </c>
      <c r="F4">
        <v>50</v>
      </c>
      <c r="G4">
        <f>(E4-SUM($E$3:E3))*F4</f>
        <v>500</v>
      </c>
      <c r="H4">
        <v>500</v>
      </c>
    </row>
    <row r="5" spans="1:10" x14ac:dyDescent="0.2">
      <c r="A5" s="6">
        <v>100</v>
      </c>
      <c r="B5" s="7">
        <f>IF($A$2&gt;(A5),A5-A4,$A$2-SUM($B$3:B4))</f>
        <v>90</v>
      </c>
      <c r="C5" s="7" t="s">
        <v>56</v>
      </c>
      <c r="E5">
        <v>100</v>
      </c>
      <c r="F5">
        <v>40</v>
      </c>
      <c r="G5">
        <f>(E5-SUM($E$3:E4))*F5</f>
        <v>3600</v>
      </c>
      <c r="H5">
        <v>3600</v>
      </c>
    </row>
    <row r="6" spans="1:10" x14ac:dyDescent="0.2">
      <c r="A6" s="6">
        <v>1000</v>
      </c>
      <c r="B6" s="6">
        <f>IF($A$2&gt;(A6),A6-A5,$A$2-SUM($B$3:B5))</f>
        <v>900</v>
      </c>
      <c r="E6">
        <v>1000</v>
      </c>
      <c r="F6">
        <v>30</v>
      </c>
      <c r="G6">
        <f>(E6-SUM($E$3:E5))*F6</f>
        <v>26700</v>
      </c>
      <c r="H6">
        <v>27000</v>
      </c>
      <c r="I6">
        <f>(E2-E5)*F6</f>
        <v>27600</v>
      </c>
      <c r="J6">
        <f>I6+G5+G4</f>
        <v>31700</v>
      </c>
    </row>
    <row r="7" spans="1:10" x14ac:dyDescent="0.2">
      <c r="A7" s="6">
        <v>2000</v>
      </c>
      <c r="B7" s="6">
        <f>IF($A$2&gt;(A7),A7-A6,$A$2-SUM($B$3:B6))</f>
        <v>1</v>
      </c>
      <c r="E7">
        <v>10000</v>
      </c>
      <c r="F7">
        <v>30</v>
      </c>
      <c r="G7">
        <f>(E7-SUM($E$3:E6))*F7</f>
        <v>266700</v>
      </c>
      <c r="H7">
        <v>30</v>
      </c>
    </row>
    <row r="8" spans="1:10" x14ac:dyDescent="0.2">
      <c r="G8">
        <f>SUM(G4:G7)</f>
        <v>297500</v>
      </c>
      <c r="H8">
        <f>SUM(H4:H7)</f>
        <v>31130</v>
      </c>
    </row>
    <row r="15" spans="1:10" x14ac:dyDescent="0.2">
      <c r="E15">
        <v>1001</v>
      </c>
      <c r="F15">
        <f>prezzo_scalato(E15,E17:F20)</f>
        <v>42030</v>
      </c>
      <c r="G15">
        <f>SUM(G16:G20)</f>
        <v>42030</v>
      </c>
    </row>
    <row r="17" spans="5:7" x14ac:dyDescent="0.2">
      <c r="E17">
        <v>500</v>
      </c>
      <c r="F17">
        <v>50</v>
      </c>
      <c r="G17">
        <v>25000</v>
      </c>
    </row>
    <row r="18" spans="5:7" x14ac:dyDescent="0.2">
      <c r="E18">
        <v>700</v>
      </c>
      <c r="F18">
        <v>40</v>
      </c>
      <c r="G18">
        <v>8000</v>
      </c>
    </row>
    <row r="19" spans="5:7" x14ac:dyDescent="0.2">
      <c r="E19">
        <v>900</v>
      </c>
      <c r="F19">
        <v>30</v>
      </c>
      <c r="G19">
        <v>6000</v>
      </c>
    </row>
    <row r="20" spans="5:7" x14ac:dyDescent="0.2">
      <c r="E20">
        <v>10000</v>
      </c>
      <c r="F20">
        <v>30</v>
      </c>
      <c r="G20">
        <v>3030</v>
      </c>
    </row>
  </sheetData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1"/>
  <sheetViews>
    <sheetView workbookViewId="0"/>
  </sheetViews>
  <sheetFormatPr defaultRowHeight="12.75" x14ac:dyDescent="0.2"/>
  <sheetData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4"/>
  <dimension ref="A1"/>
  <sheetViews>
    <sheetView workbookViewId="0"/>
  </sheetViews>
  <sheetFormatPr defaultRowHeight="12.75" x14ac:dyDescent="0.2"/>
  <sheetData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5"/>
  <dimension ref="A1"/>
  <sheetViews>
    <sheetView workbookViewId="0"/>
  </sheetViews>
  <sheetFormatPr defaultRowHeight="12.75" x14ac:dyDescent="0.2"/>
  <sheetData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6"/>
  <dimension ref="A1"/>
  <sheetViews>
    <sheetView workbookViewId="0"/>
  </sheetViews>
  <sheetFormatPr defaultRowHeight="12.75" x14ac:dyDescent="0.2"/>
  <sheetData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7"/>
  <dimension ref="A1"/>
  <sheetViews>
    <sheetView workbookViewId="0"/>
  </sheetViews>
  <sheetFormatPr defaultRowHeight="12.75" x14ac:dyDescent="0.2"/>
  <sheetData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8"/>
  <dimension ref="A1"/>
  <sheetViews>
    <sheetView workbookViewId="0"/>
  </sheetViews>
  <sheetFormatPr defaultRowHeight="12.75" x14ac:dyDescent="0.2"/>
  <sheetData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9"/>
  <dimension ref="A1"/>
  <sheetViews>
    <sheetView workbookViewId="0"/>
  </sheetViews>
  <sheetFormatPr defaultRowHeight="12.75" x14ac:dyDescent="0.2"/>
  <sheetData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10"/>
  <dimension ref="A1"/>
  <sheetViews>
    <sheetView workbookViewId="0"/>
  </sheetViews>
  <sheetFormatPr defaultRowHeight="12.75" x14ac:dyDescent="0.2"/>
  <sheetData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11"/>
  <dimension ref="A1"/>
  <sheetViews>
    <sheetView workbookViewId="0"/>
  </sheetViews>
  <sheetFormatPr defaultRowHeight="12.75" x14ac:dyDescent="0.2"/>
  <sheetData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12"/>
  <dimension ref="A1"/>
  <sheetViews>
    <sheetView workbookViewId="0"/>
  </sheetViews>
  <sheetFormatPr defaultRowHeight="12.75" x14ac:dyDescent="0.2"/>
  <sheetData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glio13"/>
  <dimension ref="A1"/>
  <sheetViews>
    <sheetView workbookViewId="0"/>
  </sheetViews>
  <sheetFormatPr defaultRowHeight="12.75" x14ac:dyDescent="0.2"/>
  <sheetData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oglio14"/>
  <dimension ref="A1"/>
  <sheetViews>
    <sheetView workbookViewId="0"/>
  </sheetViews>
  <sheetFormatPr defaultRowHeight="12.75" x14ac:dyDescent="0.2"/>
  <sheetData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oglio15"/>
  <dimension ref="A1"/>
  <sheetViews>
    <sheetView workbookViewId="0"/>
  </sheetViews>
  <sheetFormatPr defaultRowHeight="12.75" x14ac:dyDescent="0.2"/>
  <sheetData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oglio16"/>
  <dimension ref="A1"/>
  <sheetViews>
    <sheetView workbookViewId="0"/>
  </sheetViews>
  <sheetFormatPr defaultRowHeight="12.75" x14ac:dyDescent="0.2"/>
  <sheetData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16</vt:i4>
      </vt:variant>
    </vt:vector>
  </HeadingPairs>
  <TitlesOfParts>
    <vt:vector size="16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Sheet16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 Fantini</dc:creator>
  <cp:lastModifiedBy>user</cp:lastModifiedBy>
  <dcterms:created xsi:type="dcterms:W3CDTF">2010-11-22T15:29:27Z</dcterms:created>
  <dcterms:modified xsi:type="dcterms:W3CDTF">2018-04-03T17:53:12Z</dcterms:modified>
</cp:coreProperties>
</file>